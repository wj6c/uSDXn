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<sst xmlns="http://schemas.openxmlformats.org/spreadsheetml/2006/main" count="189" uniqueCount="77">
  <si>
    <t/>
  </si>
  <si>
    <t xml:space="preserve">Bill of Materials </t>
  </si>
  <si>
    <t>uSDXn_V1_Controller_BOM_2026-09-18.xlsx</t>
  </si>
  <si>
    <t>Project Title：</t>
  </si>
  <si>
    <t>uSDXn — Minimalist uSDX for Novice Builders</t>
  </si>
  <si>
    <t>Variant:</t>
  </si>
  <si>
    <t xml:space="preserve"> </t>
  </si>
  <si>
    <t>Report Time：</t>
  </si>
  <si>
    <t>2026年9月18日 14:30:48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</si>
  <si>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</si>
  <si>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</si>
  <si>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</si>
  <si>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</si>
  <si>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</si>
  <si>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</si>
  <si>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</si>
  <si>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</si>
  <si>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</si>
  <si>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</si>
  <si>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</si>
  <si>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</si>
  <si>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Display LCD 1602A</t>
  </si>
  <si>
    <t>Display1</t>
  </si>
  <si>
    <t>LCD-TH_1602LCD</t>
  </si>
  <si>
    <t>LONTECH(厦门龙特)</t>
  </si>
  <si>
    <t>C83274</t>
  </si>
  <si>
    <t>LCSC</t>
  </si>
  <si>
    <t>INTERBOARD INTERFACE</t>
  </si>
  <si>
    <t>J1</t>
  </si>
  <si>
    <t>HDR-TH_13P-P2.54-V-M</t>
  </si>
  <si>
    <t>C2894936</t>
  </si>
  <si>
    <t>3k3</t>
  </si>
  <si>
    <t>R1</t>
  </si>
  <si>
    <t>R_THT_1/8W_VERTICAL_2.54mm</t>
  </si>
  <si>
    <t>6.4826</t>
  </si>
  <si>
    <t>1k</t>
  </si>
  <si>
    <t>R2</t>
  </si>
  <si>
    <t>10K</t>
  </si>
  <si>
    <t>R3</t>
  </si>
  <si>
    <t>12kΩ</t>
  </si>
  <si>
    <t>R4</t>
  </si>
  <si>
    <t>22R</t>
  </si>
  <si>
    <t>R5</t>
  </si>
  <si>
    <t>1.8</t>
  </si>
  <si>
    <t>R6</t>
  </si>
  <si>
    <t>PEC11R-4015F-S0024</t>
  </si>
  <si>
    <t>SW1</t>
  </si>
  <si>
    <t>SW-TH_PEC11R-4XXXF-SXXXX</t>
  </si>
  <si>
    <t>BOURNS</t>
  </si>
  <si>
    <t>C143789</t>
  </si>
  <si>
    <t>Menu</t>
  </si>
  <si>
    <t>SW2</t>
  </si>
  <si>
    <t>KEY-TH_4P-L6.0-W6.0-P3.90-LS6.5</t>
  </si>
  <si>
    <t>Enter</t>
  </si>
  <si>
    <t>SW3</t>
  </si>
  <si>
    <t>Arduino Nano</t>
  </si>
  <si>
    <t>U1</t>
  </si>
  <si>
    <t>Nano 2x 15 pads</t>
  </si>
  <si>
    <t>contrast</t>
  </si>
  <si>
    <t>Vr1</t>
  </si>
  <si>
    <t>RES-ADJ-TH_3P-L9.5-W9.5-P2.54-BR-BS</t>
  </si>
  <si>
    <t>Project Title</t>
  </si>
  <si>
    <t>Borard Title</t>
  </si>
  <si>
    <t>Arduino Nano / 1602A Display</t>
  </si>
  <si>
    <t>Schematic Title</t>
  </si>
  <si>
    <t>Digital Board Schematic</t>
  </si>
  <si>
    <t>PCB Title</t>
  </si>
  <si>
    <t>Variant Name</t>
  </si>
  <si>
    <t>Total Quantity</t>
  </si>
  <si>
    <t>Report Time</t>
  </si>
  <si>
    <t>14:30:48</t>
  </si>
  <si>
    <t>Report Date</t>
  </si>
  <si>
    <t>2026年9月18日</t>
  </si>
  <si>
    <t>Report Date&amp;Time</t>
  </si>
  <si>
    <t>File Name</t>
  </si>
  <si>
    <t>Filter Option</t>
  </si>
  <si>
    <t>&lt;Parameter filter option not found&gt;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</si>
</sst>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 zoomScale="100"/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2" x14ac:dyDescent="0.25">
      <c r="A7" s="8">
        <f>ROW()-6</f>
      </c>
      <c r="B7" s="9">
        <v>1</v>
      </c>
      <c r="C7" s="9" t="s">
        <v>21</v>
      </c>
      <c r="D7" s="9" t="s">
        <v>22</v>
      </c>
      <c r="E7" s="9" t="s">
        <v>23</v>
      </c>
      <c r="F7" s="9" t="s">
        <v>0</v>
      </c>
      <c r="G7" s="9" t="s">
        <v>21</v>
      </c>
      <c r="H7" s="9" t="s">
        <v>24</v>
      </c>
      <c r="I7" s="9" t="s">
        <v>25</v>
      </c>
      <c r="J7" s="9" t="s">
        <v>26</v>
      </c>
      <c r="K7" s="9" t="s">
        <v>0</v>
      </c>
      <c r="L7" s="10">
        <f>B7*K7</f>
      </c>
    </row>
    <row r="8" spans="1:12" x14ac:dyDescent="0.25">
      <c r="A8" s="8">
        <f>ROW()-6</f>
      </c>
      <c r="B8" s="9">
        <v>1</v>
      </c>
      <c r="C8" s="9" t="s">
        <v>27</v>
      </c>
      <c r="D8" s="9" t="s">
        <v>28</v>
      </c>
      <c r="E8" s="9" t="s">
        <v>29</v>
      </c>
      <c r="F8" s="9" t="s">
        <v>0</v>
      </c>
      <c r="G8" s="9" t="s">
        <v>0</v>
      </c>
      <c r="H8" s="9" t="s">
        <v>0</v>
      </c>
      <c r="I8" s="9" t="s">
        <v>30</v>
      </c>
      <c r="J8" s="9" t="s">
        <v>0</v>
      </c>
      <c r="K8" s="9" t="s">
        <v>0</v>
      </c>
      <c r="L8" s="10">
        <f>B8*K8</f>
      </c>
    </row>
    <row r="9" spans="1:12" x14ac:dyDescent="0.25">
      <c r="A9" s="8">
        <f>ROW()-6</f>
      </c>
      <c r="B9" s="9">
        <v>1</v>
      </c>
      <c r="C9" s="9" t="s">
        <v>31</v>
      </c>
      <c r="D9" s="9" t="s">
        <v>32</v>
      </c>
      <c r="E9" s="9" t="s">
        <v>33</v>
      </c>
      <c r="F9" s="9" t="s">
        <v>31</v>
      </c>
      <c r="G9" s="9" t="s">
        <v>0</v>
      </c>
      <c r="H9" s="9" t="s">
        <v>0</v>
      </c>
      <c r="I9" s="9" t="s">
        <v>0</v>
      </c>
      <c r="J9" s="9" t="s">
        <v>0</v>
      </c>
      <c r="K9" s="9" t="s">
        <v>34</v>
      </c>
      <c r="L9" s="10">
        <f>B9*K9</f>
      </c>
    </row>
    <row r="10" spans="1:12" x14ac:dyDescent="0.25">
      <c r="A10" s="8">
        <f>ROW()-6</f>
      </c>
      <c r="B10" s="9">
        <v>1</v>
      </c>
      <c r="C10" s="9" t="s">
        <v>35</v>
      </c>
      <c r="D10" s="9" t="s">
        <v>36</v>
      </c>
      <c r="E10" s="9" t="s">
        <v>33</v>
      </c>
      <c r="F10" s="9" t="s">
        <v>35</v>
      </c>
      <c r="G10" s="9" t="s">
        <v>0</v>
      </c>
      <c r="H10" s="9" t="s">
        <v>0</v>
      </c>
      <c r="I10" s="9" t="s">
        <v>0</v>
      </c>
      <c r="J10" s="9" t="s">
        <v>0</v>
      </c>
      <c r="K10" s="9" t="s">
        <v>34</v>
      </c>
      <c r="L10" s="10">
        <f>B10*K10</f>
      </c>
    </row>
    <row r="11" spans="1:12" x14ac:dyDescent="0.25">
      <c r="A11" s="8">
        <f>ROW()-6</f>
      </c>
      <c r="B11" s="9">
        <v>1</v>
      </c>
      <c r="C11" s="9" t="s">
        <v>37</v>
      </c>
      <c r="D11" s="9" t="s">
        <v>38</v>
      </c>
      <c r="E11" s="9" t="s">
        <v>33</v>
      </c>
      <c r="F11" s="9" t="s">
        <v>37</v>
      </c>
      <c r="G11" s="9" t="s">
        <v>0</v>
      </c>
      <c r="H11" s="9" t="s">
        <v>0</v>
      </c>
      <c r="I11" s="9" t="s">
        <v>0</v>
      </c>
      <c r="J11" s="9" t="s">
        <v>0</v>
      </c>
      <c r="K11" s="9" t="s">
        <v>34</v>
      </c>
      <c r="L11" s="10">
        <f>B11*K11</f>
      </c>
    </row>
    <row r="12" spans="1:12" x14ac:dyDescent="0.25">
      <c r="A12" s="8">
        <f>ROW()-6</f>
      </c>
      <c r="B12" s="9">
        <v>1</v>
      </c>
      <c r="C12" s="9" t="s">
        <v>39</v>
      </c>
      <c r="D12" s="9" t="s">
        <v>40</v>
      </c>
      <c r="E12" s="9" t="s">
        <v>33</v>
      </c>
      <c r="F12" s="9" t="s">
        <v>39</v>
      </c>
      <c r="G12" s="9" t="s">
        <v>0</v>
      </c>
      <c r="H12" s="9" t="s">
        <v>0</v>
      </c>
      <c r="I12" s="9" t="s">
        <v>0</v>
      </c>
      <c r="J12" s="9" t="s">
        <v>0</v>
      </c>
      <c r="K12" s="9" t="s">
        <v>34</v>
      </c>
      <c r="L12" s="10">
        <f>B12*K12</f>
      </c>
    </row>
    <row r="13" spans="1:12" x14ac:dyDescent="0.25">
      <c r="A13" s="8">
        <f>ROW()-6</f>
      </c>
      <c r="B13" s="9">
        <v>1</v>
      </c>
      <c r="C13" s="9" t="s">
        <v>41</v>
      </c>
      <c r="D13" s="9" t="s">
        <v>42</v>
      </c>
      <c r="E13" s="9" t="s">
        <v>33</v>
      </c>
      <c r="F13" s="9" t="s">
        <v>41</v>
      </c>
      <c r="G13" s="9" t="s">
        <v>0</v>
      </c>
      <c r="H13" s="9" t="s">
        <v>0</v>
      </c>
      <c r="I13" s="9" t="s">
        <v>0</v>
      </c>
      <c r="J13" s="9" t="s">
        <v>0</v>
      </c>
      <c r="K13" s="9" t="s">
        <v>34</v>
      </c>
      <c r="L13" s="10">
        <f>B13*K13</f>
      </c>
    </row>
    <row r="14" spans="1:12" x14ac:dyDescent="0.25">
      <c r="A14" s="8">
        <f>ROW()-6</f>
      </c>
      <c r="B14" s="9">
        <v>1</v>
      </c>
      <c r="C14" s="9" t="s">
        <v>43</v>
      </c>
      <c r="D14" s="9" t="s">
        <v>44</v>
      </c>
      <c r="E14" s="9" t="s">
        <v>33</v>
      </c>
      <c r="F14" s="9" t="s">
        <v>43</v>
      </c>
      <c r="G14" s="9" t="s">
        <v>0</v>
      </c>
      <c r="H14" s="9" t="s">
        <v>0</v>
      </c>
      <c r="I14" s="9" t="s">
        <v>0</v>
      </c>
      <c r="J14" s="9" t="s">
        <v>0</v>
      </c>
      <c r="K14" s="9" t="s">
        <v>34</v>
      </c>
      <c r="L14" s="10">
        <f>B14*K14</f>
      </c>
    </row>
    <row r="15" spans="1:12" x14ac:dyDescent="0.25">
      <c r="A15" s="8">
        <f>ROW()-6</f>
      </c>
      <c r="B15" s="9">
        <v>1</v>
      </c>
      <c r="C15" s="9" t="s">
        <v>45</v>
      </c>
      <c r="D15" s="9" t="s">
        <v>46</v>
      </c>
      <c r="E15" s="9" t="s">
        <v>47</v>
      </c>
      <c r="F15" s="9" t="s">
        <v>0</v>
      </c>
      <c r="G15" s="9" t="s">
        <v>45</v>
      </c>
      <c r="H15" s="9" t="s">
        <v>48</v>
      </c>
      <c r="I15" s="9" t="s">
        <v>49</v>
      </c>
      <c r="J15" s="9" t="s">
        <v>26</v>
      </c>
      <c r="K15" s="9" t="s">
        <v>0</v>
      </c>
      <c r="L15" s="10">
        <f>B15*K15</f>
      </c>
    </row>
    <row r="16" spans="1:12" x14ac:dyDescent="0.25">
      <c r="A16" s="8">
        <f>ROW()-6</f>
      </c>
      <c r="B16" s="9">
        <v>1</v>
      </c>
      <c r="C16" s="9" t="s">
        <v>50</v>
      </c>
      <c r="D16" s="9" t="s">
        <v>51</v>
      </c>
      <c r="E16" s="9" t="s">
        <v>52</v>
      </c>
      <c r="F16" s="9" t="s">
        <v>0</v>
      </c>
      <c r="G16" s="9" t="s">
        <v>0</v>
      </c>
      <c r="H16" s="9" t="s">
        <v>0</v>
      </c>
      <c r="I16" s="9" t="s">
        <v>0</v>
      </c>
      <c r="J16" s="9" t="s">
        <v>0</v>
      </c>
      <c r="K16" s="9" t="s">
        <v>34</v>
      </c>
      <c r="L16" s="10">
        <f>B16*K16</f>
      </c>
    </row>
    <row r="17" spans="1:12" x14ac:dyDescent="0.25">
      <c r="A17" s="8">
        <f>ROW()-6</f>
      </c>
      <c r="B17" s="9">
        <v>1</v>
      </c>
      <c r="C17" s="9" t="s">
        <v>53</v>
      </c>
      <c r="D17" s="9" t="s">
        <v>54</v>
      </c>
      <c r="E17" s="9" t="s">
        <v>52</v>
      </c>
      <c r="F17" s="9" t="s">
        <v>0</v>
      </c>
      <c r="G17" s="9" t="s">
        <v>0</v>
      </c>
      <c r="H17" s="9" t="s">
        <v>0</v>
      </c>
      <c r="I17" s="9" t="s">
        <v>0</v>
      </c>
      <c r="J17" s="9" t="s">
        <v>0</v>
      </c>
      <c r="K17" s="9" t="s">
        <v>34</v>
      </c>
      <c r="L17" s="10">
        <f>B17*K17</f>
      </c>
    </row>
    <row r="18" spans="1:12" x14ac:dyDescent="0.25">
      <c r="A18" s="8">
        <f>ROW()-6</f>
      </c>
      <c r="B18" s="9">
        <v>1</v>
      </c>
      <c r="C18" s="9" t="s">
        <v>55</v>
      </c>
      <c r="D18" s="9" t="s">
        <v>56</v>
      </c>
      <c r="E18" s="9" t="s">
        <v>57</v>
      </c>
      <c r="F18" s="9" t="s">
        <v>0</v>
      </c>
      <c r="G18" s="9" t="s">
        <v>0</v>
      </c>
      <c r="H18" s="9" t="s">
        <v>0</v>
      </c>
      <c r="I18" s="9" t="s">
        <v>0</v>
      </c>
      <c r="J18" s="9" t="s">
        <v>0</v>
      </c>
      <c r="K18" s="9" t="s">
        <v>34</v>
      </c>
      <c r="L18" s="10">
        <f>B18*K18</f>
      </c>
    </row>
    <row r="19" spans="1:12" x14ac:dyDescent="0.25">
      <c r="A19" s="8">
        <f>ROW()-6</f>
      </c>
      <c r="B19" s="9">
        <v>1</v>
      </c>
      <c r="C19" s="9" t="s">
        <v>58</v>
      </c>
      <c r="D19" s="9" t="s">
        <v>59</v>
      </c>
      <c r="E19" s="9" t="s">
        <v>60</v>
      </c>
      <c r="F19" s="9" t="s">
        <v>37</v>
      </c>
      <c r="G19" s="9" t="s">
        <v>0</v>
      </c>
      <c r="H19" s="9" t="s">
        <v>0</v>
      </c>
      <c r="I19" s="9" t="s">
        <v>0</v>
      </c>
      <c r="J19" s="9" t="s">
        <v>0</v>
      </c>
      <c r="K19" s="9" t="s">
        <v>34</v>
      </c>
      <c r="L19" s="10">
        <f>B19*K19</f>
      </c>
    </row>
    <row r="20" spans="1:12" x14ac:dyDescent="0.25">
      <c r="A20" s="8">
        <f>ROW()-6</f>
      </c>
      <c r="B20" s="11">
        <f>SUM(L7:L19)</f>
      </c>
      <c r="C20" s="11"/>
      <c r="D20" s="11"/>
      <c r="E20" s="11"/>
      <c r="F20" s="11"/>
      <c r="G20" s="11"/>
      <c r="H20" s="11"/>
      <c r="I20" s="11"/>
      <c r="J20" s="11"/>
      <c r="K20" s="11"/>
      <c r="L20" s="11"/>
    </row>
  </sheetData>
  <mergeCells count="4">
    <mergeCell ref="A1:D5"/>
    <mergeCell ref="E1:E2"/>
    <mergeCell ref="F1:F2"/>
    <mergeCell ref="B20:L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100"/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61</v>
      </c>
      <c r="B1" s="6" t="s">
        <v>4</v>
      </c>
    </row>
    <row r="2" spans="1:2" x14ac:dyDescent="0.25">
      <c r="A2" s="6" t="s">
        <v>62</v>
      </c>
      <c r="B2" s="6" t="s">
        <v>63</v>
      </c>
    </row>
    <row r="3" spans="1:2" x14ac:dyDescent="0.25">
      <c r="A3" s="6" t="s">
        <v>64</v>
      </c>
      <c r="B3" s="6" t="s">
        <v>65</v>
      </c>
    </row>
    <row r="4" spans="1:2" x14ac:dyDescent="0.25">
      <c r="A4" s="6" t="s">
        <v>66</v>
      </c>
      <c r="B4" s="6" t="s">
        <v>6</v>
      </c>
    </row>
    <row r="5" spans="1:2" x14ac:dyDescent="0.25">
      <c r="A5" s="6" t="s">
        <v>67</v>
      </c>
      <c r="B5" s="6" t="s">
        <v>6</v>
      </c>
    </row>
    <row r="6" spans="1:2" x14ac:dyDescent="0.25">
      <c r="A6" s="6" t="s">
        <v>68</v>
      </c>
      <c r="B6" s="6">
        <v>13</v>
      </c>
    </row>
    <row r="7" spans="1:2" x14ac:dyDescent="0.25">
      <c r="A7" s="6" t="s">
        <v>69</v>
      </c>
      <c r="B7" s="6" t="s">
        <v>70</v>
      </c>
    </row>
    <row r="8" spans="1:2" x14ac:dyDescent="0.25">
      <c r="A8" s="6" t="s">
        <v>71</v>
      </c>
      <c r="B8" s="6" t="s">
        <v>72</v>
      </c>
    </row>
    <row r="9" spans="1:2" x14ac:dyDescent="0.25">
      <c r="A9" s="6" t="s">
        <v>73</v>
      </c>
      <c r="B9" s="6" t="s">
        <v>8</v>
      </c>
    </row>
    <row r="10" spans="1:2" x14ac:dyDescent="0.25">
      <c r="A10" s="6" t="s">
        <v>74</v>
      </c>
      <c r="B10" s="6" t="s">
        <v>2</v>
      </c>
    </row>
    <row r="11" spans="1:2" x14ac:dyDescent="0.25">
      <c r="A11" s="6" t="s">
        <v>75</v>
      </c>
      <c r="B11" s="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2026-09-18T18:30:48Z</dcterms:modified>
</cp:coreProperties>
</file>