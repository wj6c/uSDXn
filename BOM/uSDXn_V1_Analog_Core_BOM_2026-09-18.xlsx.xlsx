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<sst xmlns="http://schemas.openxmlformats.org/spreadsheetml/2006/main" count="612" uniqueCount="236">
  <si>
    <t/>
  </si>
  <si>
    <t xml:space="preserve">Bill of Materials </t>
  </si>
  <si>
    <t>uSDXn_V1_Analog_Core_BOM_2026-09-18.xlsx</t>
  </si>
  <si>
    <t>Project Title：</t>
  </si>
  <si>
    <t>uSDXn — Minimalist uSDX for Novice Builders</t>
  </si>
  <si>
    <t>Variant:</t>
  </si>
  <si>
    <t xml:space="preserve"> </t>
  </si>
  <si>
    <t>Report Time：</t>
  </si>
  <si>
    <t>2026年9月18日 14:17:30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</si>
  <si>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</si>
  <si>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</si>
  <si>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</si>
  <si>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</si>
  <si>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</si>
  <si>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</si>
  <si>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</si>
  <si>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</si>
  <si>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</si>
  <si>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</si>
  <si>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</si>
  <si>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</si>
  <si>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J9</t>
  </si>
  <si>
    <t>ANTENNA1</t>
  </si>
  <si>
    <t>ANT-TH_KH-BNC75-3511</t>
  </si>
  <si>
    <t>KH-BNC75-3511</t>
  </si>
  <si>
    <t>kinghelm(金航标)</t>
  </si>
  <si>
    <t>C2837588</t>
  </si>
  <si>
    <t>LCSC</t>
  </si>
  <si>
    <t>PJ-2100B-4A</t>
  </si>
  <si>
    <t>AUDIO1</t>
  </si>
  <si>
    <t>AUDIO-TH_PJ-2100B-4A</t>
  </si>
  <si>
    <t>韩国韩荣</t>
  </si>
  <si>
    <t>C145822</t>
  </si>
  <si>
    <t>BATT</t>
  </si>
  <si>
    <t>B1</t>
  </si>
  <si>
    <t>HDR-TH_2P-P2.54-V-M-1</t>
  </si>
  <si>
    <t>7.1587</t>
  </si>
  <si>
    <t>1nF</t>
  </si>
  <si>
    <t>C1, C5</t>
  </si>
  <si>
    <t>C_THT_SMALL_P2.54</t>
  </si>
  <si>
    <t>C42Q2104K4FC000</t>
  </si>
  <si>
    <t>faratronic(厦门法拉)</t>
  </si>
  <si>
    <t>470n</t>
  </si>
  <si>
    <t>C2, C3, C6, C7</t>
  </si>
  <si>
    <t>100nF</t>
  </si>
  <si>
    <t>C4, C9, C10, C11, C12, C14, C16, C18, C20, C22</t>
  </si>
  <si>
    <t>C328900</t>
  </si>
  <si>
    <t>10nF</t>
  </si>
  <si>
    <t>C8, C13</t>
  </si>
  <si>
    <t>470uF</t>
  </si>
  <si>
    <t>C15</t>
  </si>
  <si>
    <t>CAP-TH_BD10.0-P5.00-D0.6-FD</t>
  </si>
  <si>
    <t>35V470uF CD288</t>
  </si>
  <si>
    <t>HRK(鸿瑞凯电子)</t>
  </si>
  <si>
    <t>C2960252</t>
  </si>
  <si>
    <t>47uF</t>
  </si>
  <si>
    <t>C17, C19, C21</t>
  </si>
  <si>
    <t>CAP-TH_BD5.0-P2.00-D0.5-FD-A</t>
  </si>
  <si>
    <t>47uF16V5x11GF</t>
  </si>
  <si>
    <t>Econd(米朗电子)</t>
  </si>
  <si>
    <t>C49304868</t>
  </si>
  <si>
    <t>10n</t>
  </si>
  <si>
    <t>C23, C25, C27</t>
  </si>
  <si>
    <t>cap_th_2.5</t>
  </si>
  <si>
    <t>C24</t>
  </si>
  <si>
    <t>100n</t>
  </si>
  <si>
    <t>C26</t>
  </si>
  <si>
    <t>300p</t>
  </si>
  <si>
    <t>C28, C30</t>
  </si>
  <si>
    <t>820p</t>
  </si>
  <si>
    <t>C29</t>
  </si>
  <si>
    <t>1n</t>
  </si>
  <si>
    <t>C31, C32</t>
  </si>
  <si>
    <t>C33</t>
  </si>
  <si>
    <t>CAP-TH_BD6.3-P2.50-D0.5-FD-H5.0-1</t>
  </si>
  <si>
    <t>KF0J221ME050A00CV0</t>
  </si>
  <si>
    <t>HUAWEI(华威集团)</t>
  </si>
  <si>
    <t>C34</t>
  </si>
  <si>
    <t>2.2uF</t>
  </si>
  <si>
    <t>C35</t>
  </si>
  <si>
    <t>CL21A106KAYNNNE</t>
  </si>
  <si>
    <t>SAMSUNG(三星)</t>
  </si>
  <si>
    <t>100uF</t>
  </si>
  <si>
    <t>C36</t>
  </si>
  <si>
    <t>optional</t>
  </si>
  <si>
    <t>C37</t>
  </si>
  <si>
    <t>10uF</t>
  </si>
  <si>
    <t>50nF</t>
  </si>
  <si>
    <t>C38</t>
  </si>
  <si>
    <t>C39</t>
  </si>
  <si>
    <t>4.7uF</t>
  </si>
  <si>
    <t>PJ-307G5</t>
  </si>
  <si>
    <t>CN1</t>
  </si>
  <si>
    <t>AUDIO-TH_PJ-307G5</t>
  </si>
  <si>
    <t>XKB Connection(中国星坤)</t>
  </si>
  <si>
    <t>C381128</t>
  </si>
  <si>
    <t>PJ-242</t>
  </si>
  <si>
    <t>CN2</t>
  </si>
  <si>
    <t>AUDIO-SMD_PJ-242</t>
  </si>
  <si>
    <t>SHOU HAN(首韩)</t>
  </si>
  <si>
    <t>C431536</t>
  </si>
  <si>
    <t>1N4001</t>
  </si>
  <si>
    <t>D1</t>
  </si>
  <si>
    <t>DO-41_BD2.4-L4.7-P8.70-D0.9-RD</t>
  </si>
  <si>
    <t>MDD(辰达半导体)</t>
  </si>
  <si>
    <t>C2456</t>
  </si>
  <si>
    <t>1N4756A</t>
  </si>
  <si>
    <t>D2</t>
  </si>
  <si>
    <t>ST(先科)</t>
  </si>
  <si>
    <t>C8044</t>
  </si>
  <si>
    <t>Mechanical_MountingHole_Pad</t>
  </si>
  <si>
    <t>H1, H2, H3, H4</t>
  </si>
  <si>
    <t>MountingHole:MountingHole_3.2mm_M3_DIN965_Pad</t>
  </si>
  <si>
    <t>MountingHole_Pad</t>
  </si>
  <si>
    <t>HDR-M_2.54_1x2P</t>
  </si>
  <si>
    <t>H5</t>
  </si>
  <si>
    <t>CONTROLLER INTERFACE</t>
  </si>
  <si>
    <t>J1</t>
  </si>
  <si>
    <t>HDR-TH_13P-P2.54-V-M</t>
  </si>
  <si>
    <t>C2894936</t>
  </si>
  <si>
    <t>PJ-208B</t>
  </si>
  <si>
    <t>J2</t>
  </si>
  <si>
    <t>AUDIO-TH_KH-PJ-208B</t>
  </si>
  <si>
    <t>HOOYA(皓宇电子)</t>
  </si>
  <si>
    <t>C2939152</t>
  </si>
  <si>
    <t>DC05H-A2064RJ03A</t>
  </si>
  <si>
    <t>J3</t>
  </si>
  <si>
    <t>DC-IN-TH_DC005</t>
  </si>
  <si>
    <t>C9900056330</t>
  </si>
  <si>
    <t>PJ-316</t>
  </si>
  <si>
    <t>J4</t>
  </si>
  <si>
    <t>CONN-TH_PJ-316</t>
  </si>
  <si>
    <t>C2884936</t>
  </si>
  <si>
    <t>PJ-307</t>
  </si>
  <si>
    <t>J5</t>
  </si>
  <si>
    <t>BL02RN2R1M2</t>
  </si>
  <si>
    <t>L1</t>
  </si>
  <si>
    <t>BEAD-TH_BL02RN2R1P1A</t>
  </si>
  <si>
    <t>C84974</t>
  </si>
  <si>
    <t>150uH</t>
  </si>
  <si>
    <t>L2</t>
  </si>
  <si>
    <t>FT37-6</t>
  </si>
  <si>
    <t>3mm</t>
  </si>
  <si>
    <t>Led1</t>
  </si>
  <si>
    <t>LED-TH_BD3.0-P2.54-FD</t>
  </si>
  <si>
    <t>C9900095018</t>
  </si>
  <si>
    <t>FT37-2/13T</t>
  </si>
  <si>
    <t>LX1</t>
  </si>
  <si>
    <t>FT37-2/10T</t>
  </si>
  <si>
    <t>LX2</t>
  </si>
  <si>
    <t>SJ-43516-SMT-TR</t>
  </si>
  <si>
    <t>PJ1</t>
  </si>
  <si>
    <t>AUDIO-SMD_SJ-43516-SMT-TR-BE</t>
  </si>
  <si>
    <t>CUI</t>
  </si>
  <si>
    <t>C4992780</t>
  </si>
  <si>
    <t>BS170</t>
  </si>
  <si>
    <t>Q1, Q2, Q3, Q4, Q5</t>
  </si>
  <si>
    <t>TO-92-3_L4.9-W3.7-P1.27-L</t>
  </si>
  <si>
    <t>onsemi(安森美)</t>
  </si>
  <si>
    <t>C111691</t>
  </si>
  <si>
    <t>82kΩ</t>
  </si>
  <si>
    <t>R1, R6</t>
  </si>
  <si>
    <t>R_THT_1/8W_VERTICAL_2.54mm</t>
  </si>
  <si>
    <t>10kΩ</t>
  </si>
  <si>
    <t>R2, R5, R8, R9, R10, R13</t>
  </si>
  <si>
    <t>100Ω</t>
  </si>
  <si>
    <t>R3, R4, R11, R12</t>
  </si>
  <si>
    <t>1kΩ</t>
  </si>
  <si>
    <t>R7, R18</t>
  </si>
  <si>
    <t>1K</t>
  </si>
  <si>
    <t>R14</t>
  </si>
  <si>
    <t>10K</t>
  </si>
  <si>
    <t>R15, R16</t>
  </si>
  <si>
    <t>220Ω</t>
  </si>
  <si>
    <t>R17</t>
  </si>
  <si>
    <t>Resistor_TH_2.5</t>
  </si>
  <si>
    <t>R19, R20</t>
  </si>
  <si>
    <t>100kΩ</t>
  </si>
  <si>
    <t>R21</t>
  </si>
  <si>
    <t>0Ω</t>
  </si>
  <si>
    <t>R22</t>
  </si>
  <si>
    <t>10Ω</t>
  </si>
  <si>
    <t>R23</t>
  </si>
  <si>
    <t>Test-Point</t>
  </si>
  <si>
    <t>TP1, TP2, TP3, TP4, TP5, TP6, TP7, TP8, TP9</t>
  </si>
  <si>
    <t>Test-Point-0.5mm</t>
  </si>
  <si>
    <t>PLL 5351</t>
  </si>
  <si>
    <t>U1</t>
  </si>
  <si>
    <t>HDR-M-2.54_1X7_1</t>
  </si>
  <si>
    <t>FST3253MX</t>
  </si>
  <si>
    <t>U2</t>
  </si>
  <si>
    <t>SOIC-16_L9.9-W3.9-P1.27-LS6.0-BL</t>
  </si>
  <si>
    <t>C184615</t>
  </si>
  <si>
    <t>74ACT00PC</t>
  </si>
  <si>
    <t>U3</t>
  </si>
  <si>
    <t>DIP-14_L19.6-W6.4-P2.54-LS7.6-BL</t>
  </si>
  <si>
    <t>C4470406</t>
  </si>
  <si>
    <t>LM4562NA/NOPB</t>
  </si>
  <si>
    <t>U4</t>
  </si>
  <si>
    <t>PDIP-8_L9.3-W6.4-P2.54-LS7.9-BL-1</t>
  </si>
  <si>
    <t>TI(德州仪器)</t>
  </si>
  <si>
    <t>C2871355</t>
  </si>
  <si>
    <t>L7808 TO-220</t>
  </si>
  <si>
    <t>U5</t>
  </si>
  <si>
    <t>TO-220-3_L9.9-W4.5-P2.54-L</t>
  </si>
  <si>
    <t>KTP(科泰普)</t>
  </si>
  <si>
    <t>C54430186</t>
  </si>
  <si>
    <t>L7805 TO-220</t>
  </si>
  <si>
    <t>U6</t>
  </si>
  <si>
    <t>TO-220-3_L10.0-W4.5-P2.54-L</t>
  </si>
  <si>
    <t>C54430183</t>
  </si>
  <si>
    <t>PJ-210</t>
  </si>
  <si>
    <t>U7</t>
  </si>
  <si>
    <t>AUDIO-TH_XKB_PJ-210</t>
  </si>
  <si>
    <t>C2885000</t>
  </si>
  <si>
    <t>LM386N-1</t>
  </si>
  <si>
    <t>U8</t>
  </si>
  <si>
    <t>DIP-8_L8.8-W6.4-P2.54-LS7.6-BL</t>
  </si>
  <si>
    <t>HGSEMI(华冠)</t>
  </si>
  <si>
    <t>C2835213</t>
  </si>
  <si>
    <t>Project Title</t>
  </si>
  <si>
    <t>Borard Title</t>
  </si>
  <si>
    <t>Analog Board Section</t>
  </si>
  <si>
    <t>Schematic Title</t>
  </si>
  <si>
    <t>FST3253 / LM4562 / PLL / LM386 / BS170</t>
  </si>
  <si>
    <t>PCB Title</t>
  </si>
  <si>
    <t>Variant Name</t>
  </si>
  <si>
    <t>Total Quantity</t>
  </si>
  <si>
    <t>Report Time</t>
  </si>
  <si>
    <t>14:17:30</t>
  </si>
  <si>
    <t>Report Date</t>
  </si>
  <si>
    <t>2026年9月18日</t>
  </si>
  <si>
    <t>Report Date&amp;Time</t>
  </si>
  <si>
    <t>File Name</t>
  </si>
  <si>
    <t>Filter Option</t>
  </si>
  <si>
    <t>&lt;Parameter filter option not found&gt;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</si>
</sst>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1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1</v>
      </c>
      <c r="C8" s="9" t="s">
        <v>28</v>
      </c>
      <c r="D8" s="9" t="s">
        <v>29</v>
      </c>
      <c r="E8" s="9" t="s">
        <v>30</v>
      </c>
      <c r="F8" s="9" t="s">
        <v>0</v>
      </c>
      <c r="G8" s="9" t="s">
        <v>28</v>
      </c>
      <c r="H8" s="9" t="s">
        <v>31</v>
      </c>
      <c r="I8" s="9" t="s">
        <v>32</v>
      </c>
      <c r="J8" s="9" t="s">
        <v>27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1</v>
      </c>
      <c r="C9" s="9" t="s">
        <v>33</v>
      </c>
      <c r="D9" s="9" t="s">
        <v>34</v>
      </c>
      <c r="E9" s="9" t="s">
        <v>35</v>
      </c>
      <c r="F9" s="9" t="s">
        <v>0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36</v>
      </c>
      <c r="L9" s="10">
        <f>B9*K9</f>
      </c>
    </row>
    <row r="10" spans="1:12" x14ac:dyDescent="0.25">
      <c r="A10" s="8">
        <f>ROW()-6</f>
      </c>
      <c r="B10" s="9">
        <v>2</v>
      </c>
      <c r="C10" s="9" t="s">
        <v>37</v>
      </c>
      <c r="D10" s="9" t="s">
        <v>38</v>
      </c>
      <c r="E10" s="9" t="s">
        <v>39</v>
      </c>
      <c r="F10" s="9" t="s">
        <v>37</v>
      </c>
      <c r="G10" s="9" t="s">
        <v>40</v>
      </c>
      <c r="H10" s="9" t="s">
        <v>41</v>
      </c>
      <c r="I10" s="9" t="s">
        <v>0</v>
      </c>
      <c r="J10" s="9" t="s">
        <v>27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4</v>
      </c>
      <c r="C11" s="9" t="s">
        <v>42</v>
      </c>
      <c r="D11" s="9" t="s">
        <v>43</v>
      </c>
      <c r="E11" s="9" t="s">
        <v>39</v>
      </c>
      <c r="F11" s="9" t="s">
        <v>42</v>
      </c>
      <c r="G11" s="9" t="s">
        <v>40</v>
      </c>
      <c r="H11" s="9" t="s">
        <v>41</v>
      </c>
      <c r="I11" s="9" t="s">
        <v>0</v>
      </c>
      <c r="J11" s="9" t="s">
        <v>27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10</v>
      </c>
      <c r="C12" s="9" t="s">
        <v>44</v>
      </c>
      <c r="D12" s="9" t="s">
        <v>45</v>
      </c>
      <c r="E12" s="9" t="s">
        <v>39</v>
      </c>
      <c r="F12" s="9" t="s">
        <v>44</v>
      </c>
      <c r="G12" s="9" t="s">
        <v>40</v>
      </c>
      <c r="H12" s="9" t="s">
        <v>41</v>
      </c>
      <c r="I12" s="9" t="s">
        <v>46</v>
      </c>
      <c r="J12" s="9" t="s">
        <v>27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2</v>
      </c>
      <c r="C13" s="9" t="s">
        <v>47</v>
      </c>
      <c r="D13" s="9" t="s">
        <v>48</v>
      </c>
      <c r="E13" s="9" t="s">
        <v>39</v>
      </c>
      <c r="F13" s="9" t="s">
        <v>47</v>
      </c>
      <c r="G13" s="9" t="s">
        <v>40</v>
      </c>
      <c r="H13" s="9" t="s">
        <v>41</v>
      </c>
      <c r="I13" s="9" t="s">
        <v>0</v>
      </c>
      <c r="J13" s="9" t="s">
        <v>27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1</v>
      </c>
      <c r="C14" s="9" t="s">
        <v>49</v>
      </c>
      <c r="D14" s="9" t="s">
        <v>50</v>
      </c>
      <c r="E14" s="9" t="s">
        <v>51</v>
      </c>
      <c r="F14" s="9" t="s">
        <v>49</v>
      </c>
      <c r="G14" s="9" t="s">
        <v>52</v>
      </c>
      <c r="H14" s="9" t="s">
        <v>53</v>
      </c>
      <c r="I14" s="9" t="s">
        <v>54</v>
      </c>
      <c r="J14" s="9" t="s">
        <v>27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3</v>
      </c>
      <c r="C15" s="9" t="s">
        <v>55</v>
      </c>
      <c r="D15" s="9" t="s">
        <v>56</v>
      </c>
      <c r="E15" s="9" t="s">
        <v>57</v>
      </c>
      <c r="F15" s="9" t="s">
        <v>55</v>
      </c>
      <c r="G15" s="9" t="s">
        <v>58</v>
      </c>
      <c r="H15" s="9" t="s">
        <v>59</v>
      </c>
      <c r="I15" s="9" t="s">
        <v>60</v>
      </c>
      <c r="J15" s="9" t="s">
        <v>27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3</v>
      </c>
      <c r="C16" s="9" t="s">
        <v>61</v>
      </c>
      <c r="D16" s="9" t="s">
        <v>62</v>
      </c>
      <c r="E16" s="9" t="s">
        <v>39</v>
      </c>
      <c r="F16" s="9" t="s">
        <v>0</v>
      </c>
      <c r="G16" s="9" t="s">
        <v>0</v>
      </c>
      <c r="H16" s="9" t="s">
        <v>0</v>
      </c>
      <c r="I16" s="9" t="s">
        <v>0</v>
      </c>
      <c r="J16" s="9" t="s">
        <v>0</v>
      </c>
      <c r="K16" s="9" t="s">
        <v>36</v>
      </c>
      <c r="L16" s="10">
        <f>B16*K16</f>
      </c>
    </row>
    <row r="17" spans="1:12" x14ac:dyDescent="0.25">
      <c r="A17" s="8">
        <f>ROW()-6</f>
      </c>
      <c r="B17" s="9">
        <v>1</v>
      </c>
      <c r="C17" s="9" t="s">
        <v>63</v>
      </c>
      <c r="D17" s="9" t="s">
        <v>64</v>
      </c>
      <c r="E17" s="9" t="s">
        <v>39</v>
      </c>
      <c r="F17" s="9" t="s">
        <v>0</v>
      </c>
      <c r="G17" s="9" t="s">
        <v>0</v>
      </c>
      <c r="H17" s="9" t="s">
        <v>0</v>
      </c>
      <c r="I17" s="9" t="s">
        <v>0</v>
      </c>
      <c r="J17" s="9" t="s">
        <v>0</v>
      </c>
      <c r="K17" s="9" t="s">
        <v>36</v>
      </c>
      <c r="L17" s="10">
        <f>B17*K17</f>
      </c>
    </row>
    <row r="18" spans="1:12" x14ac:dyDescent="0.25">
      <c r="A18" s="8">
        <f>ROW()-6</f>
      </c>
      <c r="B18" s="9">
        <v>1</v>
      </c>
      <c r="C18" s="9" t="s">
        <v>65</v>
      </c>
      <c r="D18" s="9" t="s">
        <v>66</v>
      </c>
      <c r="E18" s="9" t="s">
        <v>39</v>
      </c>
      <c r="F18" s="9" t="s">
        <v>0</v>
      </c>
      <c r="G18" s="9" t="s">
        <v>0</v>
      </c>
      <c r="H18" s="9" t="s">
        <v>0</v>
      </c>
      <c r="I18" s="9" t="s">
        <v>0</v>
      </c>
      <c r="J18" s="9" t="s">
        <v>0</v>
      </c>
      <c r="K18" s="9" t="s">
        <v>36</v>
      </c>
      <c r="L18" s="10">
        <f>B18*K18</f>
      </c>
    </row>
    <row r="19" spans="1:12" x14ac:dyDescent="0.25">
      <c r="A19" s="8">
        <f>ROW()-6</f>
      </c>
      <c r="B19" s="9">
        <v>2</v>
      </c>
      <c r="C19" s="9" t="s">
        <v>67</v>
      </c>
      <c r="D19" s="9" t="s">
        <v>68</v>
      </c>
      <c r="E19" s="9" t="s">
        <v>39</v>
      </c>
      <c r="F19" s="9" t="s">
        <v>0</v>
      </c>
      <c r="G19" s="9" t="s">
        <v>0</v>
      </c>
      <c r="H19" s="9" t="s">
        <v>0</v>
      </c>
      <c r="I19" s="9" t="s">
        <v>0</v>
      </c>
      <c r="J19" s="9" t="s">
        <v>0</v>
      </c>
      <c r="K19" s="9" t="s">
        <v>36</v>
      </c>
      <c r="L19" s="10">
        <f>B19*K19</f>
      </c>
    </row>
    <row r="20" spans="1:12" x14ac:dyDescent="0.25">
      <c r="A20" s="8">
        <f>ROW()-6</f>
      </c>
      <c r="B20" s="9">
        <v>1</v>
      </c>
      <c r="C20" s="9" t="s">
        <v>69</v>
      </c>
      <c r="D20" s="9" t="s">
        <v>70</v>
      </c>
      <c r="E20" s="9" t="s">
        <v>39</v>
      </c>
      <c r="F20" s="9" t="s">
        <v>0</v>
      </c>
      <c r="G20" s="9" t="s">
        <v>0</v>
      </c>
      <c r="H20" s="9" t="s">
        <v>0</v>
      </c>
      <c r="I20" s="9" t="s">
        <v>0</v>
      </c>
      <c r="J20" s="9" t="s">
        <v>0</v>
      </c>
      <c r="K20" s="9" t="s">
        <v>36</v>
      </c>
      <c r="L20" s="10">
        <f>B20*K20</f>
      </c>
    </row>
    <row r="21" spans="1:12" x14ac:dyDescent="0.25">
      <c r="A21" s="8">
        <f>ROW()-6</f>
      </c>
      <c r="B21" s="9">
        <v>2</v>
      </c>
      <c r="C21" s="9" t="s">
        <v>71</v>
      </c>
      <c r="D21" s="9" t="s">
        <v>72</v>
      </c>
      <c r="E21" s="9" t="s">
        <v>39</v>
      </c>
      <c r="F21" s="9" t="s">
        <v>0</v>
      </c>
      <c r="G21" s="9" t="s">
        <v>0</v>
      </c>
      <c r="H21" s="9" t="s">
        <v>0</v>
      </c>
      <c r="I21" s="9" t="s">
        <v>0</v>
      </c>
      <c r="J21" s="9" t="s">
        <v>0</v>
      </c>
      <c r="K21" s="9" t="s">
        <v>36</v>
      </c>
      <c r="L21" s="10">
        <f>B21*K21</f>
      </c>
    </row>
    <row r="22" spans="1:12" x14ac:dyDescent="0.25">
      <c r="A22" s="8">
        <f>ROW()-6</f>
      </c>
      <c r="B22" s="9">
        <v>1</v>
      </c>
      <c r="C22" s="9" t="s">
        <v>55</v>
      </c>
      <c r="D22" s="9" t="s">
        <v>73</v>
      </c>
      <c r="E22" s="9" t="s">
        <v>74</v>
      </c>
      <c r="F22" s="9" t="s">
        <v>55</v>
      </c>
      <c r="G22" s="9" t="s">
        <v>75</v>
      </c>
      <c r="H22" s="9" t="s">
        <v>76</v>
      </c>
      <c r="I22" s="9" t="s">
        <v>0</v>
      </c>
      <c r="J22" s="9" t="s">
        <v>27</v>
      </c>
      <c r="K22" s="9" t="s">
        <v>0</v>
      </c>
      <c r="L22" s="10">
        <f>B22*K22</f>
      </c>
    </row>
    <row r="23" spans="1:12" x14ac:dyDescent="0.25">
      <c r="A23" s="8">
        <f>ROW()-6</f>
      </c>
      <c r="B23" s="9">
        <v>1</v>
      </c>
      <c r="C23" s="9" t="s">
        <v>44</v>
      </c>
      <c r="D23" s="9" t="s">
        <v>77</v>
      </c>
      <c r="E23" s="9" t="s">
        <v>39</v>
      </c>
      <c r="F23" s="9" t="s">
        <v>44</v>
      </c>
      <c r="G23" s="9" t="s">
        <v>0</v>
      </c>
      <c r="H23" s="9" t="s">
        <v>0</v>
      </c>
      <c r="I23" s="9" t="s">
        <v>0</v>
      </c>
      <c r="J23" s="9" t="s">
        <v>0</v>
      </c>
      <c r="K23" s="9" t="s">
        <v>36</v>
      </c>
      <c r="L23" s="10">
        <f>B23*K23</f>
      </c>
    </row>
    <row r="24" spans="1:12" x14ac:dyDescent="0.25">
      <c r="A24" s="8">
        <f>ROW()-6</f>
      </c>
      <c r="B24" s="9">
        <v>1</v>
      </c>
      <c r="C24" s="9" t="s">
        <v>78</v>
      </c>
      <c r="D24" s="9" t="s">
        <v>79</v>
      </c>
      <c r="E24" s="9" t="s">
        <v>39</v>
      </c>
      <c r="F24" s="9" t="s">
        <v>78</v>
      </c>
      <c r="G24" s="9" t="s">
        <v>80</v>
      </c>
      <c r="H24" s="9" t="s">
        <v>81</v>
      </c>
      <c r="I24" s="9" t="s">
        <v>0</v>
      </c>
      <c r="J24" s="9" t="s">
        <v>27</v>
      </c>
      <c r="K24" s="9" t="s">
        <v>0</v>
      </c>
      <c r="L24" s="10">
        <f>B24*K24</f>
      </c>
    </row>
    <row r="25" spans="1:12" x14ac:dyDescent="0.25">
      <c r="A25" s="8">
        <f>ROW()-6</f>
      </c>
      <c r="B25" s="9">
        <v>1</v>
      </c>
      <c r="C25" s="9" t="s">
        <v>82</v>
      </c>
      <c r="D25" s="9" t="s">
        <v>83</v>
      </c>
      <c r="E25" s="9" t="s">
        <v>74</v>
      </c>
      <c r="F25" s="9" t="s">
        <v>82</v>
      </c>
      <c r="G25" s="9" t="s">
        <v>75</v>
      </c>
      <c r="H25" s="9" t="s">
        <v>76</v>
      </c>
      <c r="I25" s="9" t="s">
        <v>0</v>
      </c>
      <c r="J25" s="9" t="s">
        <v>27</v>
      </c>
      <c r="K25" s="9" t="s">
        <v>0</v>
      </c>
      <c r="L25" s="10">
        <f>B25*K25</f>
      </c>
    </row>
    <row r="26" spans="1:12" x14ac:dyDescent="0.25">
      <c r="A26" s="8">
        <f>ROW()-6</f>
      </c>
      <c r="B26" s="9">
        <v>1</v>
      </c>
      <c r="C26" s="9" t="s">
        <v>84</v>
      </c>
      <c r="D26" s="9" t="s">
        <v>85</v>
      </c>
      <c r="E26" s="9" t="s">
        <v>74</v>
      </c>
      <c r="F26" s="9" t="s">
        <v>86</v>
      </c>
      <c r="G26" s="9" t="s">
        <v>75</v>
      </c>
      <c r="H26" s="9" t="s">
        <v>76</v>
      </c>
      <c r="I26" s="9" t="s">
        <v>0</v>
      </c>
      <c r="J26" s="9" t="s">
        <v>27</v>
      </c>
      <c r="K26" s="9" t="s">
        <v>0</v>
      </c>
      <c r="L26" s="10">
        <f>B26*K26</f>
      </c>
    </row>
    <row r="27" spans="1:12" x14ac:dyDescent="0.25">
      <c r="A27" s="8">
        <f>ROW()-6</f>
      </c>
      <c r="B27" s="9">
        <v>1</v>
      </c>
      <c r="C27" s="9" t="s">
        <v>87</v>
      </c>
      <c r="D27" s="9" t="s">
        <v>88</v>
      </c>
      <c r="E27" s="9" t="s">
        <v>39</v>
      </c>
      <c r="F27" s="9" t="s">
        <v>87</v>
      </c>
      <c r="G27" s="9" t="s">
        <v>0</v>
      </c>
      <c r="H27" s="9" t="s">
        <v>0</v>
      </c>
      <c r="I27" s="9" t="s">
        <v>0</v>
      </c>
      <c r="J27" s="9" t="s">
        <v>0</v>
      </c>
      <c r="K27" s="9" t="s">
        <v>36</v>
      </c>
      <c r="L27" s="10">
        <f>B27*K27</f>
      </c>
    </row>
    <row r="28" spans="1:12" x14ac:dyDescent="0.25">
      <c r="A28" s="8">
        <f>ROW()-6</f>
      </c>
      <c r="B28" s="9">
        <v>1</v>
      </c>
      <c r="C28" s="9" t="s">
        <v>84</v>
      </c>
      <c r="D28" s="9" t="s">
        <v>89</v>
      </c>
      <c r="E28" s="9" t="s">
        <v>74</v>
      </c>
      <c r="F28" s="9" t="s">
        <v>90</v>
      </c>
      <c r="G28" s="9" t="s">
        <v>75</v>
      </c>
      <c r="H28" s="9" t="s">
        <v>76</v>
      </c>
      <c r="I28" s="9" t="s">
        <v>0</v>
      </c>
      <c r="J28" s="9" t="s">
        <v>27</v>
      </c>
      <c r="K28" s="9" t="s">
        <v>0</v>
      </c>
      <c r="L28" s="10">
        <f>B28*K28</f>
      </c>
    </row>
    <row r="29" spans="1:12" x14ac:dyDescent="0.25">
      <c r="A29" s="8">
        <f>ROW()-6</f>
      </c>
      <c r="B29" s="9">
        <v>1</v>
      </c>
      <c r="C29" s="9" t="s">
        <v>91</v>
      </c>
      <c r="D29" s="9" t="s">
        <v>92</v>
      </c>
      <c r="E29" s="9" t="s">
        <v>93</v>
      </c>
      <c r="F29" s="9" t="s">
        <v>0</v>
      </c>
      <c r="G29" s="9" t="s">
        <v>91</v>
      </c>
      <c r="H29" s="9" t="s">
        <v>94</v>
      </c>
      <c r="I29" s="9" t="s">
        <v>95</v>
      </c>
      <c r="J29" s="9" t="s">
        <v>27</v>
      </c>
      <c r="K29" s="9" t="s">
        <v>0</v>
      </c>
      <c r="L29" s="10">
        <f>B29*K29</f>
      </c>
    </row>
    <row r="30" spans="1:12" x14ac:dyDescent="0.25">
      <c r="A30" s="8">
        <f>ROW()-6</f>
      </c>
      <c r="B30" s="9">
        <v>1</v>
      </c>
      <c r="C30" s="9" t="s">
        <v>96</v>
      </c>
      <c r="D30" s="9" t="s">
        <v>97</v>
      </c>
      <c r="E30" s="9" t="s">
        <v>98</v>
      </c>
      <c r="F30" s="9" t="s">
        <v>0</v>
      </c>
      <c r="G30" s="9" t="s">
        <v>96</v>
      </c>
      <c r="H30" s="9" t="s">
        <v>99</v>
      </c>
      <c r="I30" s="9" t="s">
        <v>100</v>
      </c>
      <c r="J30" s="9" t="s">
        <v>27</v>
      </c>
      <c r="K30" s="9" t="s">
        <v>0</v>
      </c>
      <c r="L30" s="10">
        <f>B30*K30</f>
      </c>
    </row>
    <row r="31" spans="1:12" x14ac:dyDescent="0.25">
      <c r="A31" s="8">
        <f>ROW()-6</f>
      </c>
      <c r="B31" s="9">
        <v>1</v>
      </c>
      <c r="C31" s="9" t="s">
        <v>101</v>
      </c>
      <c r="D31" s="9" t="s">
        <v>102</v>
      </c>
      <c r="E31" s="9" t="s">
        <v>103</v>
      </c>
      <c r="F31" s="9" t="s">
        <v>0</v>
      </c>
      <c r="G31" s="9" t="s">
        <v>101</v>
      </c>
      <c r="H31" s="9" t="s">
        <v>104</v>
      </c>
      <c r="I31" s="9" t="s">
        <v>105</v>
      </c>
      <c r="J31" s="9" t="s">
        <v>27</v>
      </c>
      <c r="K31" s="9" t="s">
        <v>0</v>
      </c>
      <c r="L31" s="10">
        <f>B31*K31</f>
      </c>
    </row>
    <row r="32" spans="1:12" x14ac:dyDescent="0.25">
      <c r="A32" s="8">
        <f>ROW()-6</f>
      </c>
      <c r="B32" s="9">
        <v>1</v>
      </c>
      <c r="C32" s="9" t="s">
        <v>106</v>
      </c>
      <c r="D32" s="9" t="s">
        <v>107</v>
      </c>
      <c r="E32" s="9" t="s">
        <v>103</v>
      </c>
      <c r="F32" s="9" t="s">
        <v>0</v>
      </c>
      <c r="G32" s="9" t="s">
        <v>106</v>
      </c>
      <c r="H32" s="9" t="s">
        <v>108</v>
      </c>
      <c r="I32" s="9" t="s">
        <v>109</v>
      </c>
      <c r="J32" s="9" t="s">
        <v>27</v>
      </c>
      <c r="K32" s="9" t="s">
        <v>0</v>
      </c>
      <c r="L32" s="10">
        <f>B32*K32</f>
      </c>
    </row>
    <row r="33" spans="1:12" x14ac:dyDescent="0.25">
      <c r="A33" s="8">
        <f>ROW()-6</f>
      </c>
      <c r="B33" s="9">
        <v>4</v>
      </c>
      <c r="C33" s="9" t="s">
        <v>110</v>
      </c>
      <c r="D33" s="9" t="s">
        <v>111</v>
      </c>
      <c r="E33" s="9" t="s">
        <v>112</v>
      </c>
      <c r="F33" s="9" t="s">
        <v>113</v>
      </c>
      <c r="G33" s="9" t="s">
        <v>0</v>
      </c>
      <c r="H33" s="9" t="s">
        <v>0</v>
      </c>
      <c r="I33" s="9" t="s">
        <v>0</v>
      </c>
      <c r="J33" s="9" t="s">
        <v>0</v>
      </c>
      <c r="K33" s="9" t="s">
        <v>36</v>
      </c>
      <c r="L33" s="10">
        <f>B33*K33</f>
      </c>
    </row>
    <row r="34" spans="1:12" x14ac:dyDescent="0.25">
      <c r="A34" s="8">
        <f>ROW()-6</f>
      </c>
      <c r="B34" s="9">
        <v>1</v>
      </c>
      <c r="C34" s="9" t="s">
        <v>114</v>
      </c>
      <c r="D34" s="9" t="s">
        <v>115</v>
      </c>
      <c r="E34" s="9" t="s">
        <v>35</v>
      </c>
      <c r="F34" s="9" t="s">
        <v>0</v>
      </c>
      <c r="G34" s="9" t="s">
        <v>0</v>
      </c>
      <c r="H34" s="9" t="s">
        <v>0</v>
      </c>
      <c r="I34" s="9" t="s">
        <v>0</v>
      </c>
      <c r="J34" s="9" t="s">
        <v>0</v>
      </c>
      <c r="K34" s="9" t="s">
        <v>36</v>
      </c>
      <c r="L34" s="10">
        <f>B34*K34</f>
      </c>
    </row>
    <row r="35" spans="1:12" x14ac:dyDescent="0.25">
      <c r="A35" s="8">
        <f>ROW()-6</f>
      </c>
      <c r="B35" s="9">
        <v>1</v>
      </c>
      <c r="C35" s="9" t="s">
        <v>116</v>
      </c>
      <c r="D35" s="9" t="s">
        <v>117</v>
      </c>
      <c r="E35" s="9" t="s">
        <v>118</v>
      </c>
      <c r="F35" s="9" t="s">
        <v>0</v>
      </c>
      <c r="G35" s="9" t="s">
        <v>0</v>
      </c>
      <c r="H35" s="9" t="s">
        <v>0</v>
      </c>
      <c r="I35" s="9" t="s">
        <v>119</v>
      </c>
      <c r="J35" s="9" t="s">
        <v>0</v>
      </c>
      <c r="K35" s="9" t="s">
        <v>0</v>
      </c>
      <c r="L35" s="10">
        <f>B35*K35</f>
      </c>
    </row>
    <row r="36" spans="1:12" x14ac:dyDescent="0.25">
      <c r="A36" s="8">
        <f>ROW()-6</f>
      </c>
      <c r="B36" s="9">
        <v>1</v>
      </c>
      <c r="C36" s="9" t="s">
        <v>120</v>
      </c>
      <c r="D36" s="9" t="s">
        <v>121</v>
      </c>
      <c r="E36" s="9" t="s">
        <v>122</v>
      </c>
      <c r="F36" s="9" t="s">
        <v>0</v>
      </c>
      <c r="G36" s="9" t="s">
        <v>120</v>
      </c>
      <c r="H36" s="9" t="s">
        <v>123</v>
      </c>
      <c r="I36" s="9" t="s">
        <v>124</v>
      </c>
      <c r="J36" s="9" t="s">
        <v>27</v>
      </c>
      <c r="K36" s="9" t="s">
        <v>0</v>
      </c>
      <c r="L36" s="10">
        <f>B36*K36</f>
      </c>
    </row>
    <row r="37" spans="1:12" x14ac:dyDescent="0.25">
      <c r="A37" s="8">
        <f>ROW()-6</f>
      </c>
      <c r="B37" s="9">
        <v>1</v>
      </c>
      <c r="C37" s="9" t="s">
        <v>125</v>
      </c>
      <c r="D37" s="9" t="s">
        <v>126</v>
      </c>
      <c r="E37" s="9" t="s">
        <v>127</v>
      </c>
      <c r="F37" s="9" t="s">
        <v>0</v>
      </c>
      <c r="G37" s="9" t="s">
        <v>125</v>
      </c>
      <c r="H37" s="9" t="s">
        <v>0</v>
      </c>
      <c r="I37" s="9" t="s">
        <v>128</v>
      </c>
      <c r="J37" s="9" t="s">
        <v>27</v>
      </c>
      <c r="K37" s="9" t="s">
        <v>0</v>
      </c>
      <c r="L37" s="10">
        <f>B37*K37</f>
      </c>
    </row>
    <row r="38" spans="1:12" x14ac:dyDescent="0.25">
      <c r="A38" s="8">
        <f>ROW()-6</f>
      </c>
      <c r="B38" s="9">
        <v>1</v>
      </c>
      <c r="C38" s="9" t="s">
        <v>129</v>
      </c>
      <c r="D38" s="9" t="s">
        <v>130</v>
      </c>
      <c r="E38" s="9" t="s">
        <v>131</v>
      </c>
      <c r="F38" s="9" t="s">
        <v>0</v>
      </c>
      <c r="G38" s="9" t="s">
        <v>129</v>
      </c>
      <c r="H38" s="9" t="s">
        <v>94</v>
      </c>
      <c r="I38" s="9" t="s">
        <v>132</v>
      </c>
      <c r="J38" s="9" t="s">
        <v>27</v>
      </c>
      <c r="K38" s="9" t="s">
        <v>0</v>
      </c>
      <c r="L38" s="10">
        <f>B38*K38</f>
      </c>
    </row>
    <row r="39" spans="1:12" x14ac:dyDescent="0.25">
      <c r="A39" s="8">
        <f>ROW()-6</f>
      </c>
      <c r="B39" s="9">
        <v>1</v>
      </c>
      <c r="C39" s="9" t="s">
        <v>133</v>
      </c>
      <c r="D39" s="9" t="s">
        <v>134</v>
      </c>
      <c r="E39" s="9" t="s">
        <v>93</v>
      </c>
      <c r="F39" s="9" t="s">
        <v>0</v>
      </c>
      <c r="G39" s="9" t="s">
        <v>133</v>
      </c>
      <c r="H39" s="9" t="s">
        <v>94</v>
      </c>
      <c r="I39" s="9" t="s">
        <v>95</v>
      </c>
      <c r="J39" s="9" t="s">
        <v>27</v>
      </c>
      <c r="K39" s="9" t="s">
        <v>0</v>
      </c>
      <c r="L39" s="10">
        <f>B39*K39</f>
      </c>
    </row>
    <row r="40" spans="1:12" x14ac:dyDescent="0.25">
      <c r="A40" s="8">
        <f>ROW()-6</f>
      </c>
      <c r="B40" s="9">
        <v>1</v>
      </c>
      <c r="C40" s="9" t="s">
        <v>135</v>
      </c>
      <c r="D40" s="9" t="s">
        <v>136</v>
      </c>
      <c r="E40" s="9" t="s">
        <v>137</v>
      </c>
      <c r="F40" s="9" t="s">
        <v>0</v>
      </c>
      <c r="G40" s="9" t="s">
        <v>135</v>
      </c>
      <c r="H40" s="9" t="s">
        <v>0</v>
      </c>
      <c r="I40" s="9" t="s">
        <v>138</v>
      </c>
      <c r="J40" s="9" t="s">
        <v>27</v>
      </c>
      <c r="K40" s="9" t="s">
        <v>0</v>
      </c>
      <c r="L40" s="10">
        <f>B40*K40</f>
      </c>
    </row>
    <row r="41" spans="1:12" x14ac:dyDescent="0.25">
      <c r="A41" s="8">
        <f>ROW()-6</f>
      </c>
      <c r="B41" s="9">
        <v>1</v>
      </c>
      <c r="C41" s="9" t="s">
        <v>139</v>
      </c>
      <c r="D41" s="9" t="s">
        <v>140</v>
      </c>
      <c r="E41" s="9" t="s">
        <v>141</v>
      </c>
      <c r="F41" s="9" t="s">
        <v>139</v>
      </c>
      <c r="G41" s="9" t="s">
        <v>0</v>
      </c>
      <c r="H41" s="9" t="s">
        <v>0</v>
      </c>
      <c r="I41" s="9" t="s">
        <v>0</v>
      </c>
      <c r="J41" s="9" t="s">
        <v>0</v>
      </c>
      <c r="K41" s="9" t="s">
        <v>36</v>
      </c>
      <c r="L41" s="10">
        <f>B41*K41</f>
      </c>
    </row>
    <row r="42" spans="1:12" x14ac:dyDescent="0.25">
      <c r="A42" s="8">
        <f>ROW()-6</f>
      </c>
      <c r="B42" s="9">
        <v>1</v>
      </c>
      <c r="C42" s="9" t="s">
        <v>142</v>
      </c>
      <c r="D42" s="9" t="s">
        <v>143</v>
      </c>
      <c r="E42" s="9" t="s">
        <v>144</v>
      </c>
      <c r="F42" s="9" t="s">
        <v>0</v>
      </c>
      <c r="G42" s="9" t="s">
        <v>142</v>
      </c>
      <c r="H42" s="9" t="s">
        <v>0</v>
      </c>
      <c r="I42" s="9" t="s">
        <v>145</v>
      </c>
      <c r="J42" s="9" t="s">
        <v>27</v>
      </c>
      <c r="K42" s="9" t="s">
        <v>0</v>
      </c>
      <c r="L42" s="10">
        <f>B42*K42</f>
      </c>
    </row>
    <row r="43" spans="1:12" x14ac:dyDescent="0.25">
      <c r="A43" s="8">
        <f>ROW()-6</f>
      </c>
      <c r="B43" s="9">
        <v>1</v>
      </c>
      <c r="C43" s="9" t="s">
        <v>146</v>
      </c>
      <c r="D43" s="9" t="s">
        <v>147</v>
      </c>
      <c r="E43" s="9" t="s">
        <v>141</v>
      </c>
      <c r="F43" s="9" t="s">
        <v>0</v>
      </c>
      <c r="G43" s="9" t="s">
        <v>0</v>
      </c>
      <c r="H43" s="9" t="s">
        <v>0</v>
      </c>
      <c r="I43" s="9" t="s">
        <v>0</v>
      </c>
      <c r="J43" s="9" t="s">
        <v>0</v>
      </c>
      <c r="K43" s="9" t="s">
        <v>36</v>
      </c>
      <c r="L43" s="10">
        <f>B43*K43</f>
      </c>
    </row>
    <row r="44" spans="1:12" x14ac:dyDescent="0.25">
      <c r="A44" s="8">
        <f>ROW()-6</f>
      </c>
      <c r="B44" s="9">
        <v>1</v>
      </c>
      <c r="C44" s="9" t="s">
        <v>148</v>
      </c>
      <c r="D44" s="9" t="s">
        <v>149</v>
      </c>
      <c r="E44" s="9" t="s">
        <v>141</v>
      </c>
      <c r="F44" s="9" t="s">
        <v>0</v>
      </c>
      <c r="G44" s="9" t="s">
        <v>0</v>
      </c>
      <c r="H44" s="9" t="s">
        <v>0</v>
      </c>
      <c r="I44" s="9" t="s">
        <v>0</v>
      </c>
      <c r="J44" s="9" t="s">
        <v>0</v>
      </c>
      <c r="K44" s="9" t="s">
        <v>36</v>
      </c>
      <c r="L44" s="10">
        <f>B44*K44</f>
      </c>
    </row>
    <row r="45" spans="1:12" x14ac:dyDescent="0.25">
      <c r="A45" s="8">
        <f>ROW()-6</f>
      </c>
      <c r="B45" s="9">
        <v>1</v>
      </c>
      <c r="C45" s="9" t="s">
        <v>150</v>
      </c>
      <c r="D45" s="9" t="s">
        <v>151</v>
      </c>
      <c r="E45" s="9" t="s">
        <v>152</v>
      </c>
      <c r="F45" s="9" t="s">
        <v>0</v>
      </c>
      <c r="G45" s="9" t="s">
        <v>150</v>
      </c>
      <c r="H45" s="9" t="s">
        <v>153</v>
      </c>
      <c r="I45" s="9" t="s">
        <v>154</v>
      </c>
      <c r="J45" s="9" t="s">
        <v>27</v>
      </c>
      <c r="K45" s="9" t="s">
        <v>0</v>
      </c>
      <c r="L45" s="10">
        <f>B45*K45</f>
      </c>
    </row>
    <row r="46" spans="1:12" x14ac:dyDescent="0.25">
      <c r="A46" s="8">
        <f>ROW()-6</f>
      </c>
      <c r="B46" s="9">
        <v>5</v>
      </c>
      <c r="C46" s="9" t="s">
        <v>155</v>
      </c>
      <c r="D46" s="9" t="s">
        <v>156</v>
      </c>
      <c r="E46" s="9" t="s">
        <v>157</v>
      </c>
      <c r="F46" s="9" t="s">
        <v>0</v>
      </c>
      <c r="G46" s="9" t="s">
        <v>155</v>
      </c>
      <c r="H46" s="9" t="s">
        <v>158</v>
      </c>
      <c r="I46" s="9" t="s">
        <v>159</v>
      </c>
      <c r="J46" s="9" t="s">
        <v>27</v>
      </c>
      <c r="K46" s="9" t="s">
        <v>0</v>
      </c>
      <c r="L46" s="10">
        <f>B46*K46</f>
      </c>
    </row>
    <row r="47" spans="1:12" x14ac:dyDescent="0.25">
      <c r="A47" s="8">
        <f>ROW()-6</f>
      </c>
      <c r="B47" s="9">
        <v>2</v>
      </c>
      <c r="C47" s="9" t="s">
        <v>160</v>
      </c>
      <c r="D47" s="9" t="s">
        <v>161</v>
      </c>
      <c r="E47" s="9" t="s">
        <v>162</v>
      </c>
      <c r="F47" s="9" t="s">
        <v>160</v>
      </c>
      <c r="G47" s="9" t="s">
        <v>0</v>
      </c>
      <c r="H47" s="9" t="s">
        <v>0</v>
      </c>
      <c r="I47" s="9" t="s">
        <v>0</v>
      </c>
      <c r="J47" s="9" t="s">
        <v>0</v>
      </c>
      <c r="K47" s="9" t="s">
        <v>36</v>
      </c>
      <c r="L47" s="10">
        <f>B47*K47</f>
      </c>
    </row>
    <row r="48" spans="1:12" x14ac:dyDescent="0.25">
      <c r="A48" s="8">
        <f>ROW()-6</f>
      </c>
      <c r="B48" s="9">
        <v>6</v>
      </c>
      <c r="C48" s="9" t="s">
        <v>163</v>
      </c>
      <c r="D48" s="9" t="s">
        <v>164</v>
      </c>
      <c r="E48" s="9" t="s">
        <v>162</v>
      </c>
      <c r="F48" s="9" t="s">
        <v>163</v>
      </c>
      <c r="G48" s="9" t="s">
        <v>0</v>
      </c>
      <c r="H48" s="9" t="s">
        <v>0</v>
      </c>
      <c r="I48" s="9" t="s">
        <v>0</v>
      </c>
      <c r="J48" s="9" t="s">
        <v>0</v>
      </c>
      <c r="K48" s="9" t="s">
        <v>36</v>
      </c>
      <c r="L48" s="10">
        <f>B48*K48</f>
      </c>
    </row>
    <row r="49" spans="1:12" x14ac:dyDescent="0.25">
      <c r="A49" s="8">
        <f>ROW()-6</f>
      </c>
      <c r="B49" s="9">
        <v>4</v>
      </c>
      <c r="C49" s="9" t="s">
        <v>165</v>
      </c>
      <c r="D49" s="9" t="s">
        <v>166</v>
      </c>
      <c r="E49" s="9" t="s">
        <v>162</v>
      </c>
      <c r="F49" s="9" t="s">
        <v>165</v>
      </c>
      <c r="G49" s="9" t="s">
        <v>0</v>
      </c>
      <c r="H49" s="9" t="s">
        <v>0</v>
      </c>
      <c r="I49" s="9" t="s">
        <v>0</v>
      </c>
      <c r="J49" s="9" t="s">
        <v>0</v>
      </c>
      <c r="K49" s="9" t="s">
        <v>36</v>
      </c>
      <c r="L49" s="10">
        <f>B49*K49</f>
      </c>
    </row>
    <row r="50" spans="1:12" x14ac:dyDescent="0.25">
      <c r="A50" s="8">
        <f>ROW()-6</f>
      </c>
      <c r="B50" s="9">
        <v>2</v>
      </c>
      <c r="C50" s="9" t="s">
        <v>167</v>
      </c>
      <c r="D50" s="9" t="s">
        <v>168</v>
      </c>
      <c r="E50" s="9" t="s">
        <v>162</v>
      </c>
      <c r="F50" s="9" t="s">
        <v>167</v>
      </c>
      <c r="G50" s="9" t="s">
        <v>0</v>
      </c>
      <c r="H50" s="9" t="s">
        <v>0</v>
      </c>
      <c r="I50" s="9" t="s">
        <v>0</v>
      </c>
      <c r="J50" s="9" t="s">
        <v>0</v>
      </c>
      <c r="K50" s="9" t="s">
        <v>36</v>
      </c>
      <c r="L50" s="10">
        <f>B50*K50</f>
      </c>
    </row>
    <row r="51" spans="1:12" x14ac:dyDescent="0.25">
      <c r="A51" s="8">
        <f>ROW()-6</f>
      </c>
      <c r="B51" s="9">
        <v>1</v>
      </c>
      <c r="C51" s="9" t="s">
        <v>169</v>
      </c>
      <c r="D51" s="9" t="s">
        <v>170</v>
      </c>
      <c r="E51" s="9" t="s">
        <v>162</v>
      </c>
      <c r="F51" s="9" t="s">
        <v>169</v>
      </c>
      <c r="G51" s="9" t="s">
        <v>0</v>
      </c>
      <c r="H51" s="9" t="s">
        <v>0</v>
      </c>
      <c r="I51" s="9" t="s">
        <v>0</v>
      </c>
      <c r="J51" s="9" t="s">
        <v>0</v>
      </c>
      <c r="K51" s="9" t="s">
        <v>36</v>
      </c>
      <c r="L51" s="10">
        <f>B51*K51</f>
      </c>
    </row>
    <row r="52" spans="1:12" x14ac:dyDescent="0.25">
      <c r="A52" s="8">
        <f>ROW()-6</f>
      </c>
      <c r="B52" s="9">
        <v>2</v>
      </c>
      <c r="C52" s="9" t="s">
        <v>171</v>
      </c>
      <c r="D52" s="9" t="s">
        <v>172</v>
      </c>
      <c r="E52" s="9" t="s">
        <v>162</v>
      </c>
      <c r="F52" s="9" t="s">
        <v>171</v>
      </c>
      <c r="G52" s="9" t="s">
        <v>0</v>
      </c>
      <c r="H52" s="9" t="s">
        <v>0</v>
      </c>
      <c r="I52" s="9" t="s">
        <v>0</v>
      </c>
      <c r="J52" s="9" t="s">
        <v>0</v>
      </c>
      <c r="K52" s="9" t="s">
        <v>36</v>
      </c>
      <c r="L52" s="10">
        <f>B52*K52</f>
      </c>
    </row>
    <row r="53" spans="1:12" x14ac:dyDescent="0.25">
      <c r="A53" s="8">
        <f>ROW()-6</f>
      </c>
      <c r="B53" s="9">
        <v>1</v>
      </c>
      <c r="C53" s="9" t="s">
        <v>173</v>
      </c>
      <c r="D53" s="9" t="s">
        <v>174</v>
      </c>
      <c r="E53" s="9" t="s">
        <v>175</v>
      </c>
      <c r="F53" s="9" t="s">
        <v>173</v>
      </c>
      <c r="G53" s="9" t="s">
        <v>0</v>
      </c>
      <c r="H53" s="9" t="s">
        <v>0</v>
      </c>
      <c r="I53" s="9" t="s">
        <v>0</v>
      </c>
      <c r="J53" s="9" t="s">
        <v>0</v>
      </c>
      <c r="K53" s="9" t="s">
        <v>36</v>
      </c>
      <c r="L53" s="10">
        <f>B53*K53</f>
      </c>
    </row>
    <row r="54" spans="1:12" x14ac:dyDescent="0.25">
      <c r="A54" s="8">
        <f>ROW()-6</f>
      </c>
      <c r="B54" s="9">
        <v>2</v>
      </c>
      <c r="C54" s="9" t="s">
        <v>163</v>
      </c>
      <c r="D54" s="9" t="s">
        <v>176</v>
      </c>
      <c r="E54" s="9" t="s">
        <v>175</v>
      </c>
      <c r="F54" s="9" t="s">
        <v>163</v>
      </c>
      <c r="G54" s="9" t="s">
        <v>0</v>
      </c>
      <c r="H54" s="9" t="s">
        <v>0</v>
      </c>
      <c r="I54" s="9" t="s">
        <v>0</v>
      </c>
      <c r="J54" s="9" t="s">
        <v>0</v>
      </c>
      <c r="K54" s="9" t="s">
        <v>36</v>
      </c>
      <c r="L54" s="10">
        <f>B54*K54</f>
      </c>
    </row>
    <row r="55" spans="1:12" x14ac:dyDescent="0.25">
      <c r="A55" s="8">
        <f>ROW()-6</f>
      </c>
      <c r="B55" s="9">
        <v>1</v>
      </c>
      <c r="C55" s="9" t="s">
        <v>177</v>
      </c>
      <c r="D55" s="9" t="s">
        <v>178</v>
      </c>
      <c r="E55" s="9" t="s">
        <v>175</v>
      </c>
      <c r="F55" s="9" t="s">
        <v>177</v>
      </c>
      <c r="G55" s="9" t="s">
        <v>0</v>
      </c>
      <c r="H55" s="9" t="s">
        <v>0</v>
      </c>
      <c r="I55" s="9" t="s">
        <v>0</v>
      </c>
      <c r="J55" s="9" t="s">
        <v>0</v>
      </c>
      <c r="K55" s="9" t="s">
        <v>36</v>
      </c>
      <c r="L55" s="10">
        <f>B55*K55</f>
      </c>
    </row>
    <row r="56" spans="1:12" x14ac:dyDescent="0.25">
      <c r="A56" s="8">
        <f>ROW()-6</f>
      </c>
      <c r="B56" s="9">
        <v>1</v>
      </c>
      <c r="C56" s="9" t="s">
        <v>179</v>
      </c>
      <c r="D56" s="9" t="s">
        <v>180</v>
      </c>
      <c r="E56" s="9" t="s">
        <v>175</v>
      </c>
      <c r="F56" s="9" t="s">
        <v>179</v>
      </c>
      <c r="G56" s="9" t="s">
        <v>0</v>
      </c>
      <c r="H56" s="9" t="s">
        <v>0</v>
      </c>
      <c r="I56" s="9" t="s">
        <v>0</v>
      </c>
      <c r="J56" s="9" t="s">
        <v>0</v>
      </c>
      <c r="K56" s="9" t="s">
        <v>36</v>
      </c>
      <c r="L56" s="10">
        <f>B56*K56</f>
      </c>
    </row>
    <row r="57" spans="1:12" x14ac:dyDescent="0.25">
      <c r="A57" s="8">
        <f>ROW()-6</f>
      </c>
      <c r="B57" s="9">
        <v>1</v>
      </c>
      <c r="C57" s="9" t="s">
        <v>181</v>
      </c>
      <c r="D57" s="9" t="s">
        <v>182</v>
      </c>
      <c r="E57" s="9" t="s">
        <v>175</v>
      </c>
      <c r="F57" s="9" t="s">
        <v>181</v>
      </c>
      <c r="G57" s="9" t="s">
        <v>0</v>
      </c>
      <c r="H57" s="9" t="s">
        <v>0</v>
      </c>
      <c r="I57" s="9" t="s">
        <v>0</v>
      </c>
      <c r="J57" s="9" t="s">
        <v>0</v>
      </c>
      <c r="K57" s="9" t="s">
        <v>36</v>
      </c>
      <c r="L57" s="10">
        <f>B57*K57</f>
      </c>
    </row>
    <row r="58" spans="1:12" x14ac:dyDescent="0.25">
      <c r="A58" s="8">
        <f>ROW()-6</f>
      </c>
      <c r="B58" s="9">
        <v>9</v>
      </c>
      <c r="C58" s="9" t="s">
        <v>183</v>
      </c>
      <c r="D58" s="9" t="s">
        <v>184</v>
      </c>
      <c r="E58" s="9" t="s">
        <v>185</v>
      </c>
      <c r="F58" s="9" t="s">
        <v>0</v>
      </c>
      <c r="G58" s="9" t="s">
        <v>0</v>
      </c>
      <c r="H58" s="9" t="s">
        <v>0</v>
      </c>
      <c r="I58" s="9" t="s">
        <v>0</v>
      </c>
      <c r="J58" s="9" t="s">
        <v>0</v>
      </c>
      <c r="K58" s="9" t="s">
        <v>36</v>
      </c>
      <c r="L58" s="10">
        <f>B58*K58</f>
      </c>
    </row>
    <row r="59" spans="1:12" x14ac:dyDescent="0.25">
      <c r="A59" s="8">
        <f>ROW()-6</f>
      </c>
      <c r="B59" s="9">
        <v>1</v>
      </c>
      <c r="C59" s="9" t="s">
        <v>186</v>
      </c>
      <c r="D59" s="9" t="s">
        <v>187</v>
      </c>
      <c r="E59" s="9" t="s">
        <v>188</v>
      </c>
      <c r="F59" s="9" t="s">
        <v>0</v>
      </c>
      <c r="G59" s="9" t="s">
        <v>0</v>
      </c>
      <c r="H59" s="9" t="s">
        <v>0</v>
      </c>
      <c r="I59" s="9" t="s">
        <v>0</v>
      </c>
      <c r="J59" s="9" t="s">
        <v>0</v>
      </c>
      <c r="K59" s="9" t="s">
        <v>36</v>
      </c>
      <c r="L59" s="10">
        <f>B59*K59</f>
      </c>
    </row>
    <row r="60" spans="1:12" x14ac:dyDescent="0.25">
      <c r="A60" s="8">
        <f>ROW()-6</f>
      </c>
      <c r="B60" s="9">
        <v>1</v>
      </c>
      <c r="C60" s="9" t="s">
        <v>189</v>
      </c>
      <c r="D60" s="9" t="s">
        <v>190</v>
      </c>
      <c r="E60" s="9" t="s">
        <v>191</v>
      </c>
      <c r="F60" s="9" t="s">
        <v>0</v>
      </c>
      <c r="G60" s="9" t="s">
        <v>189</v>
      </c>
      <c r="H60" s="9" t="s">
        <v>158</v>
      </c>
      <c r="I60" s="9" t="s">
        <v>192</v>
      </c>
      <c r="J60" s="9" t="s">
        <v>27</v>
      </c>
      <c r="K60" s="9" t="s">
        <v>0</v>
      </c>
      <c r="L60" s="10">
        <f>B60*K60</f>
      </c>
    </row>
    <row r="61" spans="1:12" x14ac:dyDescent="0.25">
      <c r="A61" s="8">
        <f>ROW()-6</f>
      </c>
      <c r="B61" s="9">
        <v>1</v>
      </c>
      <c r="C61" s="9" t="s">
        <v>193</v>
      </c>
      <c r="D61" s="9" t="s">
        <v>194</v>
      </c>
      <c r="E61" s="9" t="s">
        <v>195</v>
      </c>
      <c r="F61" s="9" t="s">
        <v>0</v>
      </c>
      <c r="G61" s="9" t="s">
        <v>193</v>
      </c>
      <c r="H61" s="9" t="s">
        <v>158</v>
      </c>
      <c r="I61" s="9" t="s">
        <v>196</v>
      </c>
      <c r="J61" s="9" t="s">
        <v>27</v>
      </c>
      <c r="K61" s="9" t="s">
        <v>0</v>
      </c>
      <c r="L61" s="10">
        <f>B61*K61</f>
      </c>
    </row>
    <row r="62" spans="1:12" x14ac:dyDescent="0.25">
      <c r="A62" s="8">
        <f>ROW()-6</f>
      </c>
      <c r="B62" s="9">
        <v>1</v>
      </c>
      <c r="C62" s="9" t="s">
        <v>197</v>
      </c>
      <c r="D62" s="9" t="s">
        <v>198</v>
      </c>
      <c r="E62" s="9" t="s">
        <v>199</v>
      </c>
      <c r="F62" s="9" t="s">
        <v>0</v>
      </c>
      <c r="G62" s="9" t="s">
        <v>197</v>
      </c>
      <c r="H62" s="9" t="s">
        <v>200</v>
      </c>
      <c r="I62" s="9" t="s">
        <v>201</v>
      </c>
      <c r="J62" s="9" t="s">
        <v>27</v>
      </c>
      <c r="K62" s="9" t="s">
        <v>0</v>
      </c>
      <c r="L62" s="10">
        <f>B62*K62</f>
      </c>
    </row>
    <row r="63" spans="1:12" x14ac:dyDescent="0.25">
      <c r="A63" s="8">
        <f>ROW()-6</f>
      </c>
      <c r="B63" s="9">
        <v>1</v>
      </c>
      <c r="C63" s="9" t="s">
        <v>202</v>
      </c>
      <c r="D63" s="9" t="s">
        <v>203</v>
      </c>
      <c r="E63" s="9" t="s">
        <v>204</v>
      </c>
      <c r="F63" s="9" t="s">
        <v>0</v>
      </c>
      <c r="G63" s="9" t="s">
        <v>202</v>
      </c>
      <c r="H63" s="9" t="s">
        <v>205</v>
      </c>
      <c r="I63" s="9" t="s">
        <v>206</v>
      </c>
      <c r="J63" s="9" t="s">
        <v>27</v>
      </c>
      <c r="K63" s="9" t="s">
        <v>0</v>
      </c>
      <c r="L63" s="10">
        <f>B63*K63</f>
      </c>
    </row>
    <row r="64" spans="1:12" x14ac:dyDescent="0.25">
      <c r="A64" s="8">
        <f>ROW()-6</f>
      </c>
      <c r="B64" s="9">
        <v>1</v>
      </c>
      <c r="C64" s="9" t="s">
        <v>207</v>
      </c>
      <c r="D64" s="9" t="s">
        <v>208</v>
      </c>
      <c r="E64" s="9" t="s">
        <v>209</v>
      </c>
      <c r="F64" s="9" t="s">
        <v>0</v>
      </c>
      <c r="G64" s="9" t="s">
        <v>207</v>
      </c>
      <c r="H64" s="9" t="s">
        <v>205</v>
      </c>
      <c r="I64" s="9" t="s">
        <v>210</v>
      </c>
      <c r="J64" s="9" t="s">
        <v>27</v>
      </c>
      <c r="K64" s="9" t="s">
        <v>0</v>
      </c>
      <c r="L64" s="10">
        <f>B64*K64</f>
      </c>
    </row>
    <row r="65" spans="1:12" x14ac:dyDescent="0.25">
      <c r="A65" s="8">
        <f>ROW()-6</f>
      </c>
      <c r="B65" s="9">
        <v>1</v>
      </c>
      <c r="C65" s="9" t="s">
        <v>211</v>
      </c>
      <c r="D65" s="9" t="s">
        <v>212</v>
      </c>
      <c r="E65" s="9" t="s">
        <v>213</v>
      </c>
      <c r="F65" s="9" t="s">
        <v>0</v>
      </c>
      <c r="G65" s="9" t="s">
        <v>211</v>
      </c>
      <c r="H65" s="9" t="s">
        <v>94</v>
      </c>
      <c r="I65" s="9" t="s">
        <v>214</v>
      </c>
      <c r="J65" s="9" t="s">
        <v>27</v>
      </c>
      <c r="K65" s="9" t="s">
        <v>0</v>
      </c>
      <c r="L65" s="10">
        <f>B65*K65</f>
      </c>
    </row>
    <row r="66" spans="1:12" x14ac:dyDescent="0.25">
      <c r="A66" s="8">
        <f>ROW()-6</f>
      </c>
      <c r="B66" s="9">
        <v>1</v>
      </c>
      <c r="C66" s="9" t="s">
        <v>215</v>
      </c>
      <c r="D66" s="9" t="s">
        <v>216</v>
      </c>
      <c r="E66" s="9" t="s">
        <v>217</v>
      </c>
      <c r="F66" s="9" t="s">
        <v>0</v>
      </c>
      <c r="G66" s="9" t="s">
        <v>215</v>
      </c>
      <c r="H66" s="9" t="s">
        <v>218</v>
      </c>
      <c r="I66" s="9" t="s">
        <v>219</v>
      </c>
      <c r="J66" s="9" t="s">
        <v>27</v>
      </c>
      <c r="K66" s="9" t="s">
        <v>0</v>
      </c>
      <c r="L66" s="10">
        <f>B66*K66</f>
      </c>
    </row>
    <row r="67" spans="1:12" x14ac:dyDescent="0.25">
      <c r="A67" s="8">
        <f>ROW()-6</f>
      </c>
      <c r="B67" s="11">
        <f>SUM(L7:L66)</f>
      </c>
      <c r="C67" s="11"/>
      <c r="D67" s="11"/>
      <c r="E67" s="11"/>
      <c r="F67" s="11"/>
      <c r="G67" s="11"/>
      <c r="H67" s="11"/>
      <c r="I67" s="11"/>
      <c r="J67" s="11"/>
      <c r="K67" s="11"/>
      <c r="L67" s="11"/>
    </row>
  </sheetData>
  <mergeCells count="4">
    <mergeCell ref="A1:D5"/>
    <mergeCell ref="E1:E2"/>
    <mergeCell ref="F1:F2"/>
    <mergeCell ref="B67:L6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220</v>
      </c>
      <c r="B1" s="6" t="s">
        <v>4</v>
      </c>
    </row>
    <row r="2" spans="1:2" x14ac:dyDescent="0.25">
      <c r="A2" s="6" t="s">
        <v>221</v>
      </c>
      <c r="B2" s="6" t="s">
        <v>222</v>
      </c>
    </row>
    <row r="3" spans="1:2" x14ac:dyDescent="0.25">
      <c r="A3" s="6" t="s">
        <v>223</v>
      </c>
      <c r="B3" s="6" t="s">
        <v>224</v>
      </c>
    </row>
    <row r="4" spans="1:2" x14ac:dyDescent="0.25">
      <c r="A4" s="6" t="s">
        <v>225</v>
      </c>
      <c r="B4" s="6" t="s">
        <v>6</v>
      </c>
    </row>
    <row r="5" spans="1:2" x14ac:dyDescent="0.25">
      <c r="A5" s="6" t="s">
        <v>226</v>
      </c>
      <c r="B5" s="6" t="s">
        <v>6</v>
      </c>
    </row>
    <row r="6" spans="1:2" x14ac:dyDescent="0.25">
      <c r="A6" s="6" t="s">
        <v>227</v>
      </c>
      <c r="B6" s="6">
        <v>107</v>
      </c>
    </row>
    <row r="7" spans="1:2" x14ac:dyDescent="0.25">
      <c r="A7" s="6" t="s">
        <v>228</v>
      </c>
      <c r="B7" s="6" t="s">
        <v>229</v>
      </c>
    </row>
    <row r="8" spans="1:2" x14ac:dyDescent="0.25">
      <c r="A8" s="6" t="s">
        <v>230</v>
      </c>
      <c r="B8" s="6" t="s">
        <v>231</v>
      </c>
    </row>
    <row r="9" spans="1:2" x14ac:dyDescent="0.25">
      <c r="A9" s="6" t="s">
        <v>232</v>
      </c>
      <c r="B9" s="6" t="s">
        <v>8</v>
      </c>
    </row>
    <row r="10" spans="1:2" x14ac:dyDescent="0.25">
      <c r="A10" s="6" t="s">
        <v>233</v>
      </c>
      <c r="B10" s="6" t="s">
        <v>2</v>
      </c>
    </row>
    <row r="11" spans="1:2" x14ac:dyDescent="0.25">
      <c r="A11" s="6" t="s">
        <v>234</v>
      </c>
      <c r="B11" s="6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2026-09-18T18:17:30Z</dcterms:modified>
</cp:coreProperties>
</file>